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ee\U of T\MAT292\MAT292_ODE_Project\Models\two_compartment\"/>
    </mc:Choice>
  </mc:AlternateContent>
  <xr:revisionPtr revIDLastSave="0" documentId="8_{53720467-0A34-4D80-B149-E613F1538071}" xr6:coauthVersionLast="47" xr6:coauthVersionMax="47" xr10:uidLastSave="{00000000-0000-0000-0000-000000000000}"/>
  <bookViews>
    <workbookView xWindow="-108" yWindow="-108" windowWidth="23256" windowHeight="13896" xr2:uid="{54E31CB3-410B-40BA-9BAF-ACC17079A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3" i="1"/>
  <c r="R12" i="1"/>
  <c r="R11" i="1"/>
  <c r="R9" i="1"/>
  <c r="R8" i="1"/>
  <c r="R7" i="1"/>
  <c r="R5" i="1"/>
  <c r="R4" i="1"/>
  <c r="R3" i="1"/>
  <c r="P17" i="1"/>
  <c r="P16" i="1"/>
  <c r="P15" i="1"/>
  <c r="P13" i="1"/>
  <c r="P12" i="1"/>
  <c r="P11" i="1"/>
  <c r="P9" i="1"/>
  <c r="P8" i="1"/>
  <c r="P7" i="1"/>
  <c r="P5" i="1"/>
  <c r="P4" i="1"/>
  <c r="P3" i="1"/>
  <c r="N23" i="1"/>
  <c r="N26" i="1" s="1"/>
  <c r="N22" i="1"/>
  <c r="N25" i="1" s="1"/>
  <c r="N21" i="1"/>
  <c r="N24" i="1" s="1"/>
  <c r="N17" i="1"/>
  <c r="N16" i="1"/>
  <c r="N15" i="1"/>
  <c r="N13" i="1"/>
  <c r="N12" i="1"/>
  <c r="N11" i="1"/>
  <c r="N9" i="1"/>
  <c r="N8" i="1"/>
  <c r="N7" i="1"/>
  <c r="N5" i="1"/>
  <c r="N18" i="1" s="1"/>
  <c r="N4" i="1"/>
  <c r="N20" i="1" s="1"/>
  <c r="N3" i="1"/>
  <c r="N19" i="1" s="1"/>
  <c r="L17" i="1"/>
  <c r="L16" i="1"/>
  <c r="L15" i="1"/>
  <c r="L13" i="1"/>
  <c r="L12" i="1"/>
  <c r="L11" i="1"/>
  <c r="L9" i="1"/>
  <c r="L8" i="1"/>
  <c r="L7" i="1"/>
  <c r="L5" i="1"/>
  <c r="L4" i="1"/>
  <c r="L3" i="1"/>
  <c r="J23" i="1"/>
  <c r="J22" i="1"/>
  <c r="J25" i="1" s="1"/>
  <c r="J17" i="1"/>
  <c r="J16" i="1"/>
  <c r="J15" i="1"/>
  <c r="J13" i="1"/>
  <c r="J12" i="1"/>
  <c r="J11" i="1"/>
  <c r="J9" i="1"/>
  <c r="J8" i="1"/>
  <c r="J7" i="1"/>
  <c r="J5" i="1"/>
  <c r="J4" i="1"/>
  <c r="J3" i="1"/>
  <c r="J19" i="1" s="1"/>
  <c r="H17" i="1"/>
  <c r="H16" i="1"/>
  <c r="H15" i="1"/>
  <c r="H13" i="1"/>
  <c r="H12" i="1"/>
  <c r="H11" i="1"/>
  <c r="H9" i="1"/>
  <c r="H8" i="1"/>
  <c r="H3" i="1"/>
  <c r="H7" i="1"/>
  <c r="H5" i="1"/>
  <c r="H4" i="1"/>
  <c r="U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R21" i="1" l="1"/>
  <c r="R24" i="1" s="1"/>
  <c r="R18" i="1"/>
  <c r="R26" i="1"/>
  <c r="R23" i="1"/>
  <c r="R20" i="1"/>
  <c r="R22" i="1"/>
  <c r="R25" i="1" s="1"/>
  <c r="R19" i="1"/>
  <c r="P23" i="1"/>
  <c r="P26" i="1" s="1"/>
  <c r="P20" i="1"/>
  <c r="P21" i="1"/>
  <c r="P24" i="1" s="1"/>
  <c r="P18" i="1"/>
  <c r="P22" i="1"/>
  <c r="P25" i="1" s="1"/>
  <c r="P19" i="1"/>
  <c r="L21" i="1"/>
  <c r="L18" i="1"/>
  <c r="L24" i="1"/>
  <c r="L23" i="1"/>
  <c r="L26" i="1" s="1"/>
  <c r="L20" i="1"/>
  <c r="L22" i="1"/>
  <c r="L25" i="1" s="1"/>
  <c r="L19" i="1"/>
  <c r="J21" i="1"/>
  <c r="J24" i="1" s="1"/>
  <c r="J18" i="1"/>
  <c r="J20" i="1"/>
  <c r="J26" i="1"/>
  <c r="H20" i="1"/>
  <c r="H23" i="1" l="1"/>
  <c r="H26" i="1" s="1"/>
  <c r="H19" i="1"/>
  <c r="H22" i="1"/>
  <c r="H25" i="1" s="1"/>
  <c r="H18" i="1"/>
  <c r="H21" i="1"/>
  <c r="H24" i="1" s="1"/>
</calcChain>
</file>

<file path=xl/sharedStrings.xml><?xml version="1.0" encoding="utf-8"?>
<sst xmlns="http://schemas.openxmlformats.org/spreadsheetml/2006/main" count="33" uniqueCount="27">
  <si>
    <t>k10</t>
  </si>
  <si>
    <t>k12</t>
  </si>
  <si>
    <t>k21</t>
  </si>
  <si>
    <t>input variation = 0.67</t>
  </si>
  <si>
    <t>16 runs</t>
  </si>
  <si>
    <t>C2</t>
  </si>
  <si>
    <t>C10</t>
  </si>
  <si>
    <t>C30</t>
  </si>
  <si>
    <t>P2</t>
  </si>
  <si>
    <t>P10</t>
  </si>
  <si>
    <t>P30</t>
  </si>
  <si>
    <t>u1</t>
  </si>
  <si>
    <t>u2</t>
  </si>
  <si>
    <t>u3</t>
  </si>
  <si>
    <t>u1*</t>
  </si>
  <si>
    <t>u2*</t>
  </si>
  <si>
    <t>u3*</t>
  </si>
  <si>
    <t>σ1</t>
  </si>
  <si>
    <t>σ2</t>
  </si>
  <si>
    <t>σ3</t>
  </si>
  <si>
    <t>R</t>
  </si>
  <si>
    <t>EE (C2)</t>
  </si>
  <si>
    <t>EE (C10)</t>
  </si>
  <si>
    <t>EE (C30)</t>
  </si>
  <si>
    <t>EE (P2)</t>
  </si>
  <si>
    <t>EE (P10)</t>
  </si>
  <si>
    <t>EE (P30)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</si>
</sst>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MathJax_Math-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404362831712272"/>
          <c:y val="8.1756147804815243E-2"/>
          <c:w val="0.67665769440361978"/>
          <c:h val="0.6482753373831009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082654410517191"/>
                  <c:y val="-9.30578476053172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x1</a:t>
                    </a:r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040114901704516"/>
                      <c:h val="0.3623472233365669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892D-4CD3-A455-226EEFFC84D6}"/>
                </c:ext>
              </c:extLst>
            </c:dLbl>
            <c:dLbl>
              <c:idx val="1"/>
              <c:layout>
                <c:manualLayout>
                  <c:x val="-3.7202505715362801E-2"/>
                  <c:y val="3.773587148172424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x2</a:t>
                    </a:r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68938284150836"/>
                      <c:h val="0.36234722333656694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2-892D-4CD3-A455-226EEFFC84D6}"/>
                </c:ext>
              </c:extLst>
            </c:dLbl>
            <c:dLbl>
              <c:idx val="2"/>
              <c:layout>
                <c:manualLayout>
                  <c:x val="-0.18167591665307831"/>
                  <c:y val="-9.080350070034211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x</a:t>
                    </a:r>
                    <a:r>
                      <a:rPr lang="en-US" baseline="0"/>
                      <a:t>3</a:t>
                    </a: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943886698042351"/>
                      <c:h val="0.16354352430620361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892D-4CD3-A455-226EEFFC84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Sheet1!$G$28:$G$30</c:f>
              <c:numCache>
                <c:formatCode>0.0</c:formatCode>
                <c:ptCount val="3"/>
                <c:pt idx="0">
                  <c:v>209.76836249999999</c:v>
                </c:pt>
                <c:pt idx="1">
                  <c:v>250.56438749999998</c:v>
                </c:pt>
                <c:pt idx="2">
                  <c:v>93.746249999999989</c:v>
                </c:pt>
              </c:numCache>
            </c:numRef>
          </c:xVal>
          <c:yVal>
            <c:numRef>
              <c:f>Sheet1!$H$28:$H$30</c:f>
              <c:numCache>
                <c:formatCode>0.0</c:formatCode>
                <c:ptCount val="3"/>
                <c:pt idx="0">
                  <c:v>36.564353181862387</c:v>
                </c:pt>
                <c:pt idx="1">
                  <c:v>177.82229322653268</c:v>
                </c:pt>
                <c:pt idx="2">
                  <c:v>159.33288479441006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D-4CD3-A455-226EEFFC84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19985152"/>
        <c:axId val="919941472"/>
      </c:scatterChart>
      <c:valAx>
        <c:axId val="9199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 of Elementary</a:t>
                </a:r>
                <a:r>
                  <a:rPr lang="en-CA" baseline="0"/>
                  <a:t> Effects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41472"/>
        <c:crosses val="autoZero"/>
        <c:crossBetween val="midCat"/>
      </c:valAx>
      <c:valAx>
        <c:axId val="91994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Standard Deviation of Elementary Effects    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1.797420799911512E-4"/>
              <c:y val="0.16875314015180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8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003781886369458"/>
          <c:y val="8.1906612390588426E-2"/>
          <c:w val="0.68916500636862676"/>
          <c:h val="0.6401819651841198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x1</a:t>
                    </a:r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518-4F2F-90C4-BDE853298D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x2</a:t>
                    </a:r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518-4F2F-90C4-BDE853298DFF}"/>
                </c:ext>
              </c:extLst>
            </c:dLbl>
            <c:dLbl>
              <c:idx val="2"/>
              <c:layout>
                <c:manualLayout>
                  <c:x val="-6.3680062272380142E-2"/>
                  <c:y val="-0.11102042271090994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x3</a:t>
                    </a:r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518-4F2F-90C4-BDE853298D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Sheet1!$I$28:$I$30</c:f>
              <c:numCache>
                <c:formatCode>0.0</c:formatCode>
                <c:ptCount val="3"/>
                <c:pt idx="0">
                  <c:v>147.31972500000001</c:v>
                </c:pt>
                <c:pt idx="1">
                  <c:v>176.70960000000002</c:v>
                </c:pt>
                <c:pt idx="2">
                  <c:v>19.584375000000001</c:v>
                </c:pt>
              </c:numCache>
            </c:numRef>
          </c:xVal>
          <c:yVal>
            <c:numRef>
              <c:f>Sheet1!$J$28:$J$30</c:f>
              <c:numCache>
                <c:formatCode>0.0</c:formatCode>
                <c:ptCount val="3"/>
                <c:pt idx="0">
                  <c:v>87.903170573993663</c:v>
                </c:pt>
                <c:pt idx="1">
                  <c:v>204.30800759348313</c:v>
                </c:pt>
                <c:pt idx="2">
                  <c:v>12.794003250082637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8-4F2F-90C4-BDE853298D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8042112"/>
        <c:axId val="498049792"/>
      </c:scatterChart>
      <c:valAx>
        <c:axId val="49804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</a:t>
                </a:r>
                <a:r>
                  <a:rPr lang="en-CA" baseline="0"/>
                  <a:t> of EE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43500289971486422"/>
              <c:y val="0.834660040654291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49792"/>
        <c:crosses val="autoZero"/>
        <c:crossBetween val="midCat"/>
      </c:valAx>
      <c:valAx>
        <c:axId val="4980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SD of EE</a:t>
                </a:r>
              </a:p>
            </c:rich>
          </c:tx>
          <c:layout>
            <c:manualLayout>
              <c:xMode val="edge"/>
              <c:yMode val="edge"/>
              <c:x val="1.2794341207282095E-2"/>
              <c:y val="0.21500866849866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04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64788993940938"/>
          <c:y val="8.04001012914662E-2"/>
          <c:w val="0.7056921099544774"/>
          <c:h val="0.6541092106171873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165520574136831E-2"/>
                  <c:y val="-9.659536806775247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x1</a:t>
                    </a:r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4E4F-4C3B-A581-09BFEF004D12}"/>
                </c:ext>
              </c:extLst>
            </c:dLbl>
            <c:dLbl>
              <c:idx val="1"/>
              <c:layout>
                <c:manualLayout>
                  <c:x val="1.6734212924844167E-3"/>
                  <c:y val="-3.637139644066216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x2</a:t>
                    </a:r>
                  </a:p>
                </c:rich>
              </c:tx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E4F-4C3B-A581-09BFEF004D1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x3</a:t>
                    </a:r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4E4F-4C3B-A581-09BFEF004D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Sheet1!$K$28:$K$30</c:f>
              <c:numCache>
                <c:formatCode>0.0</c:formatCode>
                <c:ptCount val="3"/>
                <c:pt idx="0">
                  <c:v>42.249412500000005</c:v>
                </c:pt>
                <c:pt idx="1">
                  <c:v>103.36605000000002</c:v>
                </c:pt>
                <c:pt idx="2">
                  <c:v>21.9135375</c:v>
                </c:pt>
              </c:numCache>
            </c:numRef>
          </c:xVal>
          <c:yVal>
            <c:numRef>
              <c:f>Sheet1!$L$28:$L$30</c:f>
              <c:numCache>
                <c:formatCode>0.0</c:formatCode>
                <c:ptCount val="3"/>
                <c:pt idx="0">
                  <c:v>28.003392824070779</c:v>
                </c:pt>
                <c:pt idx="1">
                  <c:v>173.15765235203656</c:v>
                </c:pt>
                <c:pt idx="2">
                  <c:v>21.958445507064443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F-4C3B-A581-09BFEF004D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2479696"/>
        <c:axId val="492485456"/>
      </c:scatterChart>
      <c:valAx>
        <c:axId val="4924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 of EE</a:t>
                </a:r>
              </a:p>
            </c:rich>
          </c:tx>
          <c:layout>
            <c:manualLayout>
              <c:xMode val="edge"/>
              <c:yMode val="edge"/>
              <c:x val="0.44423984496864355"/>
              <c:y val="0.84501024425055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85456"/>
        <c:crosses val="autoZero"/>
        <c:crossBetween val="midCat"/>
      </c:valAx>
      <c:valAx>
        <c:axId val="49248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SD of EE</a:t>
                </a:r>
              </a:p>
            </c:rich>
          </c:tx>
          <c:layout>
            <c:manualLayout>
              <c:xMode val="edge"/>
              <c:yMode val="edge"/>
              <c:x val="2.105683421937839E-2"/>
              <c:y val="0.24948663643269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7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97429074405559"/>
          <c:y val="7.7957980815751865E-2"/>
          <c:w val="0.68006689122976038"/>
          <c:h val="0.65752841392618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x1</a:t>
                    </a:r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693-4CC9-94C1-8C43B08DC71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x2</a:t>
                    </a:r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693-4CC9-94C1-8C43B08DC71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x3</a:t>
                    </a:r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693-4CC9-94C1-8C43B08DC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Sheet1!$M$28:$M$30</c:f>
              <c:numCache>
                <c:formatCode>0.0</c:formatCode>
                <c:ptCount val="3"/>
                <c:pt idx="0">
                  <c:v>35.507400000000004</c:v>
                </c:pt>
                <c:pt idx="1">
                  <c:v>440.74042500000002</c:v>
                </c:pt>
                <c:pt idx="2">
                  <c:v>237.08628750000003</c:v>
                </c:pt>
              </c:numCache>
            </c:numRef>
          </c:xVal>
          <c:yVal>
            <c:numRef>
              <c:f>Sheet1!$N$28:$N$30</c:f>
              <c:numCache>
                <c:formatCode>0.0</c:formatCode>
                <c:ptCount val="3"/>
                <c:pt idx="0">
                  <c:v>8.7156343639605645</c:v>
                </c:pt>
                <c:pt idx="1">
                  <c:v>416.13587922055962</c:v>
                </c:pt>
                <c:pt idx="2">
                  <c:v>405.37261554845031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3-4CC9-94C1-8C43B08DC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21983"/>
        <c:axId val="1370638783"/>
      </c:scatterChart>
      <c:valAx>
        <c:axId val="137062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</a:t>
                </a:r>
                <a:r>
                  <a:rPr lang="en-CA" baseline="0"/>
                  <a:t> of EE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45197667889955784"/>
              <c:y val="0.856805084400535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38783"/>
        <c:crosses val="autoZero"/>
        <c:crossBetween val="midCat"/>
      </c:valAx>
      <c:valAx>
        <c:axId val="137063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SD</a:t>
                </a:r>
                <a:r>
                  <a:rPr lang="en-CA" baseline="0"/>
                  <a:t> of EE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2.990660996633572E-2"/>
              <c:y val="0.29253160311631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2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81462687587554"/>
          <c:y val="7.7957980815751865E-2"/>
          <c:w val="0.70545232250307244"/>
          <c:h val="0.6787896814213910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4149818481552962E-3"/>
                  <c:y val="-7.207211297275333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617-460A-8BC0-0393F0A3B643}"/>
                </c:ext>
              </c:extLst>
            </c:dLbl>
            <c:dLbl>
              <c:idx val="1"/>
              <c:layout>
                <c:manualLayout>
                  <c:x val="-4.2730447811102579E-2"/>
                  <c:y val="-8.7089524104130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617-460A-8BC0-0393F0A3B6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x3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617-460A-8BC0-0393F0A3B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Sheet1!$O$28:$O$30</c:f>
              <c:numCache>
                <c:formatCode>0.0</c:formatCode>
                <c:ptCount val="3"/>
                <c:pt idx="0">
                  <c:v>251.16821250000001</c:v>
                </c:pt>
                <c:pt idx="1">
                  <c:v>537.25132500000007</c:v>
                </c:pt>
                <c:pt idx="2">
                  <c:v>207.66153750000001</c:v>
                </c:pt>
              </c:numCache>
            </c:numRef>
          </c:xVal>
          <c:yVal>
            <c:numRef>
              <c:f>Sheet1!$P$28:$P$30</c:f>
              <c:numCache>
                <c:formatCode>0.0</c:formatCode>
                <c:ptCount val="3"/>
                <c:pt idx="0">
                  <c:v>48.679041712712156</c:v>
                </c:pt>
                <c:pt idx="1">
                  <c:v>383.73850514955575</c:v>
                </c:pt>
                <c:pt idx="2">
                  <c:v>315.71199186983176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17-460A-8BC0-0393F0A3B6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70671423"/>
        <c:axId val="1370672383"/>
      </c:scatterChart>
      <c:valAx>
        <c:axId val="137067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</a:t>
                </a:r>
                <a:r>
                  <a:rPr lang="en-CA" baseline="0"/>
                  <a:t> of EE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45262384453966281"/>
              <c:y val="0.84971799523546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72383"/>
        <c:crosses val="autoZero"/>
        <c:crossBetween val="midCat"/>
      </c:valAx>
      <c:valAx>
        <c:axId val="137067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SD of EE</a:t>
                </a:r>
              </a:p>
            </c:rich>
          </c:tx>
          <c:layout>
            <c:manualLayout>
              <c:xMode val="edge"/>
              <c:yMode val="edge"/>
              <c:x val="2.1073990282069553E-2"/>
              <c:y val="0.25000906812590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7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920403975450047"/>
          <c:y val="7.8948543294827311E-2"/>
          <c:w val="0.70098795022250804"/>
          <c:h val="0.6531768453021096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5117994572997535E-2"/>
                  <c:y val="7.128303856580771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x1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FFD-4CEF-95ED-45E2B897334E}"/>
                </c:ext>
              </c:extLst>
            </c:dLbl>
            <c:dLbl>
              <c:idx val="1"/>
              <c:layout>
                <c:manualLayout>
                  <c:x val="-4.1598228211866914E-2"/>
                  <c:y val="-8.09831446484399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x2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FFD-4CEF-95ED-45E2B897334E}"/>
                </c:ext>
              </c:extLst>
            </c:dLbl>
            <c:dLbl>
              <c:idx val="2"/>
              <c:layout>
                <c:manualLayout>
                  <c:x val="-5.4269691579599599E-2"/>
                  <c:y val="-5.4964274288151892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 x3</a:t>
                    </a:r>
                    <a:endParaRPr lang="en-US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FFD-4CEF-95ED-45E2B89733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Sheet1!$Q$28:$Q$30</c:f>
              <c:numCache>
                <c:formatCode>0.0</c:formatCode>
                <c:ptCount val="3"/>
                <c:pt idx="0">
                  <c:v>369.79020000000003</c:v>
                </c:pt>
                <c:pt idx="1">
                  <c:v>523.57413750000001</c:v>
                </c:pt>
                <c:pt idx="2">
                  <c:v>246.58545000000007</c:v>
                </c:pt>
              </c:numCache>
            </c:numRef>
          </c:xVal>
          <c:yVal>
            <c:numRef>
              <c:f>Sheet1!$R$28:$R$30</c:f>
              <c:numCache>
                <c:formatCode>0.0</c:formatCode>
                <c:ptCount val="3"/>
                <c:pt idx="0">
                  <c:v>106.55994189958301</c:v>
                </c:pt>
                <c:pt idx="1">
                  <c:v>384.78437720701999</c:v>
                </c:pt>
                <c:pt idx="2">
                  <c:v>311.23290689240878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D-4CEF-95ED-45E2B89733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70640703"/>
        <c:axId val="1370626783"/>
      </c:scatterChart>
      <c:valAx>
        <c:axId val="137064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Mean of EE</a:t>
                </a:r>
              </a:p>
            </c:rich>
          </c:tx>
          <c:layout>
            <c:manualLayout>
              <c:xMode val="edge"/>
              <c:yMode val="edge"/>
              <c:x val="0.41040091301693504"/>
              <c:y val="0.840631317084363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26783"/>
        <c:crosses val="autoZero"/>
        <c:crossBetween val="midCat"/>
      </c:valAx>
      <c:valAx>
        <c:axId val="13706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SD of EE</a:t>
                </a:r>
              </a:p>
            </c:rich>
          </c:tx>
          <c:layout>
            <c:manualLayout>
              <c:xMode val="edge"/>
              <c:yMode val="edge"/>
              <c:x val="1.2654956790463809E-2"/>
              <c:y val="0.24683202722566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64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354373</xdr:colOff>
      <xdr:row>31</xdr:row>
      <xdr:rowOff>23317</xdr:rowOff>
    </xdr:from>
    <xdr:to>
      <xdr:col>8</xdr:col>
      <xdr:colOff>469982</xdr:colOff>
      <xdr:row>40</xdr:row>
      <xdr:rowOff>51256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98A4F2-97AF-23DB-D288-1E0702FDB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361138</xdr:colOff>
      <xdr:row>40</xdr:row>
      <xdr:rowOff>52998</xdr:rowOff>
    </xdr:from>
    <xdr:to>
      <xdr:col>8</xdr:col>
      <xdr:colOff>465936</xdr:colOff>
      <xdr:row>49</xdr:row>
      <xdr:rowOff>77475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726156-0AAC-B70D-703B-57A132D022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362702</xdr:colOff>
      <xdr:row>49</xdr:row>
      <xdr:rowOff>63993</xdr:rowOff>
    </xdr:from>
    <xdr:to>
      <xdr:col>8</xdr:col>
      <xdr:colOff>461210</xdr:colOff>
      <xdr:row>59</xdr:row>
      <xdr:rowOff>6743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64FBF9-DC72-0683-DD11-E011A3ECD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464818</xdr:colOff>
      <xdr:row>31</xdr:row>
      <xdr:rowOff>23918</xdr:rowOff>
    </xdr:from>
    <xdr:to>
      <xdr:col>12</xdr:col>
      <xdr:colOff>68619</xdr:colOff>
      <xdr:row>40</xdr:row>
      <xdr:rowOff>60159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E33B18-D90F-FBAF-83FE-D78BE09A4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466670</xdr:colOff>
      <xdr:row>40</xdr:row>
      <xdr:rowOff>54692</xdr:rowOff>
    </xdr:from>
    <xdr:to>
      <xdr:col>12</xdr:col>
      <xdr:colOff>68180</xdr:colOff>
      <xdr:row>49</xdr:row>
      <xdr:rowOff>70701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64A67DD-0106-5289-533B-9D432DD4F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466238</xdr:colOff>
      <xdr:row>49</xdr:row>
      <xdr:rowOff>57868</xdr:rowOff>
    </xdr:from>
    <xdr:to>
      <xdr:col>12</xdr:col>
      <xdr:colOff>60691</xdr:colOff>
      <xdr:row>59</xdr:row>
      <xdr:rowOff>7938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942567-81A5-ACDB-03B0-16F218AC3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55F4-CDAC-4025-96F7-A8048629D1ED}">
  <dimension ref="A1:W30"/>
  <sheetViews>
    <sheetView tabSelected="1" zoomScale="66" zoomScaleNormal="194" workbookViewId="0">
      <selection activeCell="N57" sqref="N57"/>
    </sheetView>
  </sheetViews>
  <sheetFormatPr defaultRowHeight="14.4" x14ac:dyDescent="0.3"/>
  <cols>
    <col min="7" max="12" width="12.33203125" bestFit="1" customWidth="1"/>
    <col min="17" max="18" width="10.109375" customWidth="1"/>
    <col min="19" max="19" width="16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5</v>
      </c>
      <c r="H1" t="s">
        <v>21</v>
      </c>
      <c r="I1" t="s">
        <v>6</v>
      </c>
      <c r="J1" t="s">
        <v>22</v>
      </c>
      <c r="K1" t="s">
        <v>7</v>
      </c>
      <c r="L1" t="s">
        <v>23</v>
      </c>
      <c r="M1" t="s">
        <v>8</v>
      </c>
      <c r="N1" t="s">
        <v>24</v>
      </c>
      <c r="O1" t="s">
        <v>9</v>
      </c>
      <c r="P1" t="s">
        <v>25</v>
      </c>
      <c r="Q1" t="s">
        <v>10</v>
      </c>
      <c r="R1" t="s">
        <v>26</v>
      </c>
      <c r="T1" t="s">
        <v>20</v>
      </c>
      <c r="U1">
        <v>4</v>
      </c>
    </row>
    <row r="2" spans="1:23" x14ac:dyDescent="0.3">
      <c r="A2">
        <v>0.33</v>
      </c>
      <c r="B2">
        <v>0</v>
      </c>
      <c r="C2">
        <v>0</v>
      </c>
      <c r="D2">
        <f>A2*($U$5-$T$5)+$T$5</f>
        <v>0.13870000000000002</v>
      </c>
      <c r="E2">
        <f>B2*($U$6-$T$6)+$T$6</f>
        <v>0.01</v>
      </c>
      <c r="F2">
        <f>C2*($U$7-$T$7)+$T$7</f>
        <v>1E-3</v>
      </c>
      <c r="G2">
        <v>371.36689999999999</v>
      </c>
      <c r="I2">
        <v>113.1027</v>
      </c>
      <c r="K2">
        <v>5.9843000000000002</v>
      </c>
      <c r="M2">
        <v>8.8134999999999994</v>
      </c>
      <c r="O2">
        <v>26.381900000000002</v>
      </c>
      <c r="Q2">
        <v>33.142600000000002</v>
      </c>
      <c r="S2" t="s">
        <v>3</v>
      </c>
      <c r="U2">
        <f>2/3</f>
        <v>0.66666666666666663</v>
      </c>
    </row>
    <row r="3" spans="1:23" x14ac:dyDescent="0.3">
      <c r="A3">
        <v>0.33</v>
      </c>
      <c r="B3">
        <v>0.67</v>
      </c>
      <c r="C3">
        <v>0</v>
      </c>
      <c r="D3">
        <f t="shared" ref="D3:D17" si="0">A3*($U$5-$T$5)+$T$5</f>
        <v>0.13870000000000002</v>
      </c>
      <c r="E3">
        <f t="shared" ref="E3:E17" si="1">B3*($U$6-$T$6)+$T$6</f>
        <v>0.20430000000000001</v>
      </c>
      <c r="F3">
        <f t="shared" ref="F3:F17" si="2">C3*($U$7-$T$7)+$T$7</f>
        <v>1E-3</v>
      </c>
      <c r="G3">
        <v>6.7272999999999996</v>
      </c>
      <c r="H3">
        <f>(G3-G2)/$U$2</f>
        <v>-546.95939999999996</v>
      </c>
      <c r="I3">
        <v>0.3629</v>
      </c>
      <c r="J3">
        <f>(I3-I2)/$U$2</f>
        <v>-169.1097</v>
      </c>
      <c r="K3">
        <v>0.36230000000000001</v>
      </c>
      <c r="L3">
        <f>(K3-K2)/$U$2</f>
        <v>-8.4329999999999998</v>
      </c>
      <c r="M3">
        <v>782.09720000000004</v>
      </c>
      <c r="N3">
        <f>(M3-M2)/$U$2</f>
        <v>1159.9255500000002</v>
      </c>
      <c r="O3">
        <v>791.66449999999998</v>
      </c>
      <c r="P3">
        <f>(O3-O2)/$U$2</f>
        <v>1147.9239</v>
      </c>
      <c r="Q3">
        <v>790.35360000000003</v>
      </c>
      <c r="R3">
        <f>(Q3-Q2)/$U$2</f>
        <v>1135.8165000000001</v>
      </c>
    </row>
    <row r="4" spans="1:23" x14ac:dyDescent="0.3">
      <c r="A4">
        <v>0.33</v>
      </c>
      <c r="B4">
        <v>0.67</v>
      </c>
      <c r="C4">
        <v>0.67</v>
      </c>
      <c r="D4">
        <f t="shared" si="0"/>
        <v>0.13870000000000002</v>
      </c>
      <c r="E4">
        <f t="shared" si="1"/>
        <v>0.20430000000000001</v>
      </c>
      <c r="F4">
        <f t="shared" si="2"/>
        <v>1.3729999999999999E-2</v>
      </c>
      <c r="G4">
        <v>253.20609999999999</v>
      </c>
      <c r="H4">
        <f>(G4-G3)/$U$2</f>
        <v>369.71819999999997</v>
      </c>
      <c r="I4">
        <v>26.420200000000001</v>
      </c>
      <c r="J4">
        <f>(I4-I3)/$U$2</f>
        <v>39.085950000000004</v>
      </c>
      <c r="K4">
        <v>10.868</v>
      </c>
      <c r="L4">
        <f>(K4-K3)/$U$2</f>
        <v>15.758550000000001</v>
      </c>
      <c r="M4">
        <v>155.95670000000001</v>
      </c>
      <c r="N4">
        <f>(M4-M3)/$U$2</f>
        <v>-939.21074999999996</v>
      </c>
      <c r="O4">
        <v>288.6739</v>
      </c>
      <c r="P4">
        <f>(O4-O3)/$U$2</f>
        <v>-754.48590000000002</v>
      </c>
      <c r="Q4">
        <v>266.62029999999999</v>
      </c>
      <c r="R4">
        <f>(Q4-Q3)/$U$2</f>
        <v>-785.59995000000015</v>
      </c>
    </row>
    <row r="5" spans="1:23" x14ac:dyDescent="0.3">
      <c r="A5">
        <v>1</v>
      </c>
      <c r="B5">
        <v>0.67</v>
      </c>
      <c r="C5">
        <v>0.67</v>
      </c>
      <c r="D5">
        <f t="shared" si="0"/>
        <v>0.4</v>
      </c>
      <c r="E5">
        <f t="shared" si="1"/>
        <v>0.20430000000000001</v>
      </c>
      <c r="F5">
        <f t="shared" si="2"/>
        <v>1.3729999999999999E-2</v>
      </c>
      <c r="G5">
        <v>150.29390000000001</v>
      </c>
      <c r="H5">
        <f>(G5-G4)/$U$2</f>
        <v>-154.36829999999998</v>
      </c>
      <c r="I5">
        <v>5.0534999999999997</v>
      </c>
      <c r="J5">
        <f>(I5-I4)/$U$2</f>
        <v>-32.050050000000006</v>
      </c>
      <c r="K5">
        <v>3.2860999999999998</v>
      </c>
      <c r="L5">
        <f>(K5-K4)/$U$2</f>
        <v>-11.372850000000001</v>
      </c>
      <c r="M5">
        <v>128.9573</v>
      </c>
      <c r="N5">
        <f>(M5-M4)/$U$2</f>
        <v>-40.499100000000013</v>
      </c>
      <c r="O5">
        <v>170.71260000000001</v>
      </c>
      <c r="P5">
        <f>(O5-O4)/$U$2</f>
        <v>-176.94194999999999</v>
      </c>
      <c r="Q5">
        <v>142.25640000000001</v>
      </c>
      <c r="R5">
        <f>(Q5-Q4)/$U$2</f>
        <v>-186.54584999999997</v>
      </c>
      <c r="S5" t="s">
        <v>0</v>
      </c>
      <c r="T5">
        <v>0.01</v>
      </c>
      <c r="U5">
        <v>0.4</v>
      </c>
    </row>
    <row r="6" spans="1:23" x14ac:dyDescent="0.3">
      <c r="A6">
        <v>0</v>
      </c>
      <c r="B6">
        <v>0.33</v>
      </c>
      <c r="C6">
        <v>0</v>
      </c>
      <c r="D6">
        <f t="shared" si="0"/>
        <v>0.01</v>
      </c>
      <c r="E6">
        <f t="shared" si="1"/>
        <v>0.10569999999999999</v>
      </c>
      <c r="F6">
        <f t="shared" si="2"/>
        <v>1E-3</v>
      </c>
      <c r="G6">
        <v>396.78179999999998</v>
      </c>
      <c r="I6">
        <v>158.47149999999999</v>
      </c>
      <c r="K6">
        <v>18.9969</v>
      </c>
      <c r="M6">
        <v>96.910600000000002</v>
      </c>
      <c r="O6">
        <v>320.51990000000001</v>
      </c>
      <c r="Q6">
        <v>450.76670000000001</v>
      </c>
      <c r="S6" t="s">
        <v>1</v>
      </c>
      <c r="T6">
        <v>0.01</v>
      </c>
      <c r="U6">
        <v>0.3</v>
      </c>
      <c r="W6" t="s">
        <v>4</v>
      </c>
    </row>
    <row r="7" spans="1:23" x14ac:dyDescent="0.3">
      <c r="A7">
        <v>0</v>
      </c>
      <c r="B7">
        <v>0.33</v>
      </c>
      <c r="C7">
        <v>0.67</v>
      </c>
      <c r="D7">
        <f t="shared" si="0"/>
        <v>0.01</v>
      </c>
      <c r="E7">
        <f t="shared" si="1"/>
        <v>0.10569999999999999</v>
      </c>
      <c r="F7">
        <f t="shared" si="2"/>
        <v>1.3729999999999999E-2</v>
      </c>
      <c r="G7">
        <v>397.67489999999998</v>
      </c>
      <c r="H7">
        <f>(G7-G6)/$U$2</f>
        <v>1.339650000000006</v>
      </c>
      <c r="I7">
        <v>173.8038</v>
      </c>
      <c r="J7">
        <f>(I7-I6)/$U$2</f>
        <v>22.998450000000005</v>
      </c>
      <c r="K7">
        <v>58.5627</v>
      </c>
      <c r="L7">
        <f>(K7-K6)/$U$2</f>
        <v>59.348699999999994</v>
      </c>
      <c r="M7">
        <v>95.669200000000004</v>
      </c>
      <c r="N7">
        <f>(M7-M6)/$U$2</f>
        <v>-1.8620999999999981</v>
      </c>
      <c r="O7">
        <v>303.15339999999998</v>
      </c>
      <c r="P7">
        <f>(O7-O6)/$U$2</f>
        <v>-26.049750000000046</v>
      </c>
      <c r="Q7">
        <v>402.06290000000001</v>
      </c>
      <c r="R7">
        <f>(Q7-Q6)/$U$2</f>
        <v>-73.055700000000002</v>
      </c>
      <c r="S7" t="s">
        <v>2</v>
      </c>
      <c r="T7">
        <v>1E-3</v>
      </c>
      <c r="U7">
        <v>0.02</v>
      </c>
    </row>
    <row r="8" spans="1:23" x14ac:dyDescent="0.3">
      <c r="A8">
        <v>0.67</v>
      </c>
      <c r="B8">
        <v>0.33</v>
      </c>
      <c r="C8">
        <v>0.67</v>
      </c>
      <c r="D8">
        <f t="shared" si="0"/>
        <v>0.27130000000000004</v>
      </c>
      <c r="E8">
        <f t="shared" si="1"/>
        <v>0.10569999999999999</v>
      </c>
      <c r="F8">
        <f t="shared" si="2"/>
        <v>1.3729999999999999E-2</v>
      </c>
      <c r="G8">
        <v>235.773</v>
      </c>
      <c r="H8">
        <f>(G8-G7)/$U$2</f>
        <v>-242.85284999999999</v>
      </c>
      <c r="I8">
        <v>15.9474</v>
      </c>
      <c r="J8">
        <f>(I8-I7)/$U$2</f>
        <v>-236.78460000000001</v>
      </c>
      <c r="K8">
        <v>4.2016</v>
      </c>
      <c r="L8">
        <f>(K8-K7)/$U$2</f>
        <v>-81.541650000000004</v>
      </c>
      <c r="M8">
        <v>77.615700000000004</v>
      </c>
      <c r="N8">
        <f>(M8-M7)/$U$2</f>
        <v>-27.080249999999999</v>
      </c>
      <c r="O8">
        <v>133.292</v>
      </c>
      <c r="P8">
        <f>(O8-O7)/$U$2</f>
        <v>-254.79209999999998</v>
      </c>
      <c r="Q8">
        <v>112.06399999999999</v>
      </c>
      <c r="R8">
        <f>(Q8-Q7)/$U$2</f>
        <v>-434.99835000000007</v>
      </c>
    </row>
    <row r="9" spans="1:23" x14ac:dyDescent="0.3">
      <c r="A9">
        <v>0.67</v>
      </c>
      <c r="B9">
        <v>1</v>
      </c>
      <c r="C9">
        <v>0.67</v>
      </c>
      <c r="D9">
        <f t="shared" si="0"/>
        <v>0.27130000000000004</v>
      </c>
      <c r="E9">
        <f t="shared" si="1"/>
        <v>0.3</v>
      </c>
      <c r="F9">
        <f t="shared" si="2"/>
        <v>1.3729999999999999E-2</v>
      </c>
      <c r="G9">
        <v>161.1823</v>
      </c>
      <c r="H9">
        <f>(G9-G8)/$U$2</f>
        <v>-111.88605</v>
      </c>
      <c r="I9">
        <v>8.1037999999999997</v>
      </c>
      <c r="J9">
        <f>(I9-I8)/$U$2</f>
        <v>-11.765400000000001</v>
      </c>
      <c r="K9">
        <v>5.7996999999999996</v>
      </c>
      <c r="L9">
        <f>(K9-K8)/$U$2</f>
        <v>2.3971499999999994</v>
      </c>
      <c r="M9">
        <v>196.1823</v>
      </c>
      <c r="N9">
        <f>(M9-M8)/$U$2</f>
        <v>177.84989999999999</v>
      </c>
      <c r="O9">
        <v>271.44540000000001</v>
      </c>
      <c r="P9">
        <f>(O9-O8)/$U$2</f>
        <v>207.23010000000002</v>
      </c>
      <c r="Q9">
        <v>238.30860000000001</v>
      </c>
      <c r="R9">
        <f>(Q9-Q8)/$U$2</f>
        <v>189.36690000000004</v>
      </c>
    </row>
    <row r="10" spans="1:23" x14ac:dyDescent="0.3">
      <c r="A10">
        <v>0</v>
      </c>
      <c r="B10">
        <v>0</v>
      </c>
      <c r="C10">
        <v>0.33</v>
      </c>
      <c r="D10">
        <f t="shared" si="0"/>
        <v>0.01</v>
      </c>
      <c r="E10">
        <f t="shared" si="1"/>
        <v>0.01</v>
      </c>
      <c r="F10">
        <f t="shared" si="2"/>
        <v>7.2700000000000004E-3</v>
      </c>
      <c r="G10">
        <v>480.4393</v>
      </c>
      <c r="I10">
        <v>410.8159</v>
      </c>
      <c r="K10">
        <v>284.52640000000002</v>
      </c>
      <c r="M10">
        <v>9.7678999999999991</v>
      </c>
      <c r="O10">
        <v>43.863999999999997</v>
      </c>
      <c r="Q10">
        <v>101.66160000000001</v>
      </c>
    </row>
    <row r="11" spans="1:23" x14ac:dyDescent="0.3">
      <c r="A11">
        <v>0</v>
      </c>
      <c r="B11">
        <v>0.67</v>
      </c>
      <c r="C11">
        <v>0.33</v>
      </c>
      <c r="D11">
        <f t="shared" si="0"/>
        <v>0.01</v>
      </c>
      <c r="E11">
        <f t="shared" si="1"/>
        <v>0.20430000000000001</v>
      </c>
      <c r="F11">
        <f t="shared" si="2"/>
        <v>7.2700000000000004E-3</v>
      </c>
      <c r="G11">
        <v>326.6293</v>
      </c>
      <c r="H11">
        <f>(G11-G10)/$U$2</f>
        <v>-230.715</v>
      </c>
      <c r="I11">
        <v>68.950199999999995</v>
      </c>
      <c r="J11">
        <f>(I11-I10)/$U$2</f>
        <v>-512.79855000000009</v>
      </c>
      <c r="K11">
        <v>16.953600000000002</v>
      </c>
      <c r="L11">
        <f>(K11-K10)/$U$2</f>
        <v>-401.35920000000004</v>
      </c>
      <c r="M11">
        <v>173.78380000000001</v>
      </c>
      <c r="N11">
        <f>(M11-M10)/$U$2</f>
        <v>246.02385000000004</v>
      </c>
      <c r="O11">
        <v>431.23050000000001</v>
      </c>
      <c r="P11">
        <f>(O11-O10)/$U$2</f>
        <v>581.04975000000013</v>
      </c>
      <c r="Q11">
        <v>480.09739999999999</v>
      </c>
      <c r="R11">
        <f>(Q11-Q10)/$U$2</f>
        <v>567.65369999999996</v>
      </c>
    </row>
    <row r="12" spans="1:23" x14ac:dyDescent="0.3">
      <c r="A12">
        <v>0.67</v>
      </c>
      <c r="B12">
        <v>0.67</v>
      </c>
      <c r="C12">
        <v>0.33</v>
      </c>
      <c r="D12">
        <f t="shared" si="0"/>
        <v>0.27130000000000004</v>
      </c>
      <c r="E12">
        <f t="shared" si="1"/>
        <v>0.20430000000000001</v>
      </c>
      <c r="F12">
        <f t="shared" si="2"/>
        <v>7.2700000000000004E-3</v>
      </c>
      <c r="G12">
        <v>193.7602</v>
      </c>
      <c r="H12">
        <f>(G12-G11)/$U$2</f>
        <v>-199.30365</v>
      </c>
      <c r="I12">
        <v>7.5566000000000004</v>
      </c>
      <c r="J12">
        <f>(I12-I11)/$U$2</f>
        <v>-92.090399999999988</v>
      </c>
      <c r="K12">
        <v>3.1789999999999998</v>
      </c>
      <c r="L12">
        <f>(K12-K11)/$U$2</f>
        <v>-20.661900000000003</v>
      </c>
      <c r="M12">
        <v>142.26689999999999</v>
      </c>
      <c r="N12">
        <f>(M12-M11)/$U$2</f>
        <v>-47.275350000000032</v>
      </c>
      <c r="O12">
        <v>222.2165</v>
      </c>
      <c r="P12">
        <f>(O12-O11)/$U$2</f>
        <v>-313.52100000000002</v>
      </c>
      <c r="Q12">
        <v>205.99350000000001</v>
      </c>
      <c r="R12">
        <f>(Q12-Q11)/$U$2</f>
        <v>-411.15584999999993</v>
      </c>
    </row>
    <row r="13" spans="1:23" x14ac:dyDescent="0.3">
      <c r="A13">
        <v>0.67</v>
      </c>
      <c r="B13">
        <v>0.67</v>
      </c>
      <c r="C13">
        <v>1</v>
      </c>
      <c r="D13">
        <f t="shared" si="0"/>
        <v>0.27130000000000004</v>
      </c>
      <c r="E13">
        <f t="shared" si="1"/>
        <v>0.20430000000000001</v>
      </c>
      <c r="F13">
        <f t="shared" si="2"/>
        <v>0.02</v>
      </c>
      <c r="G13">
        <v>194.83029999999999</v>
      </c>
      <c r="H13">
        <f>(G13-G12)/$U$2</f>
        <v>1.6051499999999947</v>
      </c>
      <c r="I13">
        <v>12.755599999999999</v>
      </c>
      <c r="J13">
        <f>(I13-I12)/$U$2</f>
        <v>7.7984999999999989</v>
      </c>
      <c r="K13">
        <v>7.1539999999999999</v>
      </c>
      <c r="L13">
        <f>(K13-K12)/$U$2</f>
        <v>5.9625000000000004</v>
      </c>
      <c r="M13">
        <v>140.24199999999999</v>
      </c>
      <c r="N13">
        <f>(M13-M12)/$U$2</f>
        <v>-3.0373500000000035</v>
      </c>
      <c r="O13">
        <v>206.70650000000001</v>
      </c>
      <c r="P13">
        <f>(O13-O12)/$U$2</f>
        <v>-23.264999999999986</v>
      </c>
      <c r="Q13">
        <v>165.78530000000001</v>
      </c>
      <c r="R13">
        <f>(Q13-Q12)/$U$2</f>
        <v>-60.312300000000008</v>
      </c>
    </row>
    <row r="14" spans="1:23" x14ac:dyDescent="0.3">
      <c r="A14">
        <v>0</v>
      </c>
      <c r="B14">
        <v>0.33</v>
      </c>
      <c r="C14">
        <v>0.33</v>
      </c>
      <c r="D14">
        <f t="shared" si="0"/>
        <v>0.01</v>
      </c>
      <c r="E14">
        <f t="shared" si="1"/>
        <v>0.10569999999999999</v>
      </c>
      <c r="F14">
        <f t="shared" si="2"/>
        <v>7.2700000000000004E-3</v>
      </c>
      <c r="G14">
        <v>397.22340000000003</v>
      </c>
      <c r="I14">
        <v>166.1771</v>
      </c>
      <c r="K14">
        <v>39.457799999999999</v>
      </c>
      <c r="M14">
        <v>96.296499999999995</v>
      </c>
      <c r="O14">
        <v>311.79090000000002</v>
      </c>
      <c r="Q14">
        <v>425.62490000000003</v>
      </c>
    </row>
    <row r="15" spans="1:23" x14ac:dyDescent="0.3">
      <c r="A15">
        <v>0.67</v>
      </c>
      <c r="B15">
        <v>0.33</v>
      </c>
      <c r="C15">
        <v>0.33</v>
      </c>
      <c r="D15">
        <f t="shared" si="0"/>
        <v>0.27130000000000004</v>
      </c>
      <c r="E15">
        <f t="shared" si="1"/>
        <v>0.10569999999999999</v>
      </c>
      <c r="F15">
        <f t="shared" si="2"/>
        <v>7.2700000000000004E-3</v>
      </c>
      <c r="G15">
        <v>235.52430000000001</v>
      </c>
      <c r="H15">
        <f>(G15-G14)/$U$2</f>
        <v>-242.54865000000004</v>
      </c>
      <c r="I15">
        <v>13.9412</v>
      </c>
      <c r="J15">
        <f>(I15-I14)/$U$2</f>
        <v>-228.35384999999999</v>
      </c>
      <c r="K15">
        <v>2.5103</v>
      </c>
      <c r="L15">
        <f>(K15-K14)/$U$2</f>
        <v>-55.421250000000001</v>
      </c>
      <c r="M15">
        <v>78.179900000000004</v>
      </c>
      <c r="N15">
        <f>(M15-M14)/$U$2</f>
        <v>-27.174899999999987</v>
      </c>
      <c r="O15">
        <v>138.84569999999999</v>
      </c>
      <c r="P15">
        <f>(O15-O14)/$U$2</f>
        <v>-259.41780000000006</v>
      </c>
      <c r="Q15">
        <v>127.98439999999999</v>
      </c>
      <c r="R15">
        <f>(Q15-Q14)/$U$2</f>
        <v>-446.46075000000008</v>
      </c>
    </row>
    <row r="16" spans="1:23" x14ac:dyDescent="0.3">
      <c r="A16">
        <v>0.67</v>
      </c>
      <c r="B16">
        <v>1</v>
      </c>
      <c r="C16">
        <v>0.33</v>
      </c>
      <c r="D16">
        <f t="shared" si="0"/>
        <v>0.27130000000000004</v>
      </c>
      <c r="E16">
        <f t="shared" si="1"/>
        <v>0.3</v>
      </c>
      <c r="F16">
        <f t="shared" si="2"/>
        <v>7.2700000000000004E-3</v>
      </c>
      <c r="G16">
        <v>160.3929</v>
      </c>
      <c r="H16">
        <f>(G16-G15)/$U$2</f>
        <v>-112.69710000000002</v>
      </c>
      <c r="I16">
        <v>5.1646999999999998</v>
      </c>
      <c r="J16">
        <f>(I16-I15)/$U$2</f>
        <v>-13.164750000000002</v>
      </c>
      <c r="K16">
        <v>3.3601999999999999</v>
      </c>
      <c r="L16">
        <f>(K16-K15)/$U$2</f>
        <v>1.2748499999999998</v>
      </c>
      <c r="M16">
        <v>197.6215</v>
      </c>
      <c r="N16">
        <f>(M16-M15)/$U$2</f>
        <v>179.16239999999999</v>
      </c>
      <c r="O16">
        <v>280.71339999999998</v>
      </c>
      <c r="P16">
        <f>(O16-O15)/$U$2</f>
        <v>212.80154999999999</v>
      </c>
      <c r="Q16">
        <v>262.29070000000002</v>
      </c>
      <c r="R16">
        <f>(Q16-Q15)/$U$2</f>
        <v>201.45945000000003</v>
      </c>
    </row>
    <row r="17" spans="1:18" x14ac:dyDescent="0.3">
      <c r="A17">
        <v>0.67</v>
      </c>
      <c r="B17">
        <v>1</v>
      </c>
      <c r="C17">
        <v>1</v>
      </c>
      <c r="D17">
        <f t="shared" si="0"/>
        <v>0.27130000000000004</v>
      </c>
      <c r="E17">
        <f t="shared" si="1"/>
        <v>0.3</v>
      </c>
      <c r="F17">
        <f t="shared" si="2"/>
        <v>0.02</v>
      </c>
      <c r="G17">
        <v>161.9409</v>
      </c>
      <c r="H17">
        <f>(G17-G16)/$U$2</f>
        <v>2.3220000000000027</v>
      </c>
      <c r="I17">
        <v>10.8011</v>
      </c>
      <c r="J17">
        <f>(I17-I16)/$U$2</f>
        <v>8.454600000000001</v>
      </c>
      <c r="K17">
        <v>7.7497999999999996</v>
      </c>
      <c r="L17">
        <f>(K17-K16)/$U$2</f>
        <v>6.5843999999999996</v>
      </c>
      <c r="M17">
        <v>194.79820000000001</v>
      </c>
      <c r="N17">
        <f>(M17-M16)/$U$2</f>
        <v>-4.2349499999999836</v>
      </c>
      <c r="O17">
        <v>262.81639999999999</v>
      </c>
      <c r="P17">
        <f>(O17-O16)/$U$2</f>
        <v>-26.845499999999987</v>
      </c>
      <c r="Q17">
        <v>217.37479999999999</v>
      </c>
      <c r="R17">
        <f>(Q17-Q16)/$U$2</f>
        <v>-67.373850000000033</v>
      </c>
    </row>
    <row r="18" spans="1:18" x14ac:dyDescent="0.3">
      <c r="G18" t="s">
        <v>14</v>
      </c>
      <c r="H18">
        <f>ABS(H5/4)+ABS(H8/4)+ABS(H12/4)+ABS(H15/4)</f>
        <v>209.76836249999999</v>
      </c>
      <c r="J18">
        <f>ABS(J5/4)+ABS(J8/4)+ABS(J12/4)+ABS(J15/4)</f>
        <v>147.31972500000001</v>
      </c>
      <c r="L18">
        <f>ABS(L5/4)+ABS(L8/4)+ABS(L12/4)+ABS(L15/4)</f>
        <v>42.249412500000005</v>
      </c>
      <c r="N18">
        <f>ABS(N5/4)+ABS(N8/4)+ABS(N12/4)+ABS(N15/4)</f>
        <v>35.507400000000004</v>
      </c>
      <c r="P18">
        <f>ABS(P5/4)+ABS(P8/4)+ABS(P12/4)+ABS(P15/4)</f>
        <v>251.16821250000001</v>
      </c>
      <c r="R18">
        <f>ABS(R5/4)+ABS(R8/4)+ABS(R12/4)+ABS(R15/4)</f>
        <v>369.79020000000003</v>
      </c>
    </row>
    <row r="19" spans="1:18" x14ac:dyDescent="0.3">
      <c r="G19" t="s">
        <v>15</v>
      </c>
      <c r="H19">
        <f>ABS(H3/4)+ABS(H9/4)+ABS(H11/4)+ABS(H16/4)</f>
        <v>250.56438749999998</v>
      </c>
      <c r="J19">
        <f>ABS(J3/4)+ABS(J9/4)+ABS(J11/4)+ABS(J16/4)</f>
        <v>176.70960000000002</v>
      </c>
      <c r="L19">
        <f>ABS(L3/4)+ABS(L9/4)+ABS(L11/4)+ABS(L16/4)</f>
        <v>103.36605000000002</v>
      </c>
      <c r="N19">
        <f>ABS(N3/4)+ABS(N9/4)+ABS(N11/4)+ABS(N16/4)</f>
        <v>440.74042500000002</v>
      </c>
      <c r="P19">
        <f>ABS(P3/4)+ABS(P9/4)+ABS(P11/4)+ABS(P16/4)</f>
        <v>537.25132500000007</v>
      </c>
      <c r="R19">
        <f>ABS(R3/4)+ABS(R9/4)+ABS(R11/4)+ABS(R16/4)</f>
        <v>523.57413750000001</v>
      </c>
    </row>
    <row r="20" spans="1:18" x14ac:dyDescent="0.3">
      <c r="G20" t="s">
        <v>16</v>
      </c>
      <c r="H20">
        <f>ABS(H4/4)+ABS(H7/4)+ABS(H13/4)+ABS(H17/4)</f>
        <v>93.746249999999989</v>
      </c>
      <c r="J20">
        <f>ABS(J4/4)+ABS(J7/4)+ABS(J13/4)+ABS(J17/4)</f>
        <v>19.584375000000001</v>
      </c>
      <c r="L20">
        <f>ABS(L4/4)+ABS(L7/4)+ABS(L13/4)+ABS(L17/4)</f>
        <v>21.9135375</v>
      </c>
      <c r="N20">
        <f>ABS(N4/4)+ABS(N7/4)+ABS(N13/4)+ABS(N17/4)</f>
        <v>237.08628750000003</v>
      </c>
      <c r="P20">
        <f>ABS(P4/4)+ABS(P7/4)+ABS(P13/4)+ABS(P17/4)</f>
        <v>207.66153750000001</v>
      </c>
      <c r="R20">
        <f>ABS(R4/4)+ABS(R7/4)+ABS(R13/4)+ABS(R17/4)</f>
        <v>246.58545000000007</v>
      </c>
    </row>
    <row r="21" spans="1:18" x14ac:dyDescent="0.3">
      <c r="G21" s="1" t="s">
        <v>11</v>
      </c>
      <c r="H21">
        <f>H5/4+H8/4+H12/4+H15/4</f>
        <v>-209.76836249999999</v>
      </c>
      <c r="J21">
        <f>J5/4+J8/4+J12/4+J15/4</f>
        <v>-147.31972500000001</v>
      </c>
      <c r="L21">
        <f>L5/4+L8/4+L12/4+L15/4</f>
        <v>-42.249412500000005</v>
      </c>
      <c r="N21">
        <f>N5/4+N8/4+N12/4+N15/4</f>
        <v>-35.507400000000004</v>
      </c>
      <c r="P21">
        <f>P5/4+P8/4+P12/4+P15/4</f>
        <v>-251.16821250000001</v>
      </c>
      <c r="R21">
        <f>R5/4+R8/4+R12/4+R15/4</f>
        <v>-369.79020000000003</v>
      </c>
    </row>
    <row r="22" spans="1:18" x14ac:dyDescent="0.3">
      <c r="G22" s="1" t="s">
        <v>12</v>
      </c>
      <c r="H22">
        <f>H3/4+H9/4+H11/4+H16/4</f>
        <v>-250.56438749999998</v>
      </c>
      <c r="J22">
        <f>J3/4+J9/4+J11/4+J16/4</f>
        <v>-176.70960000000002</v>
      </c>
      <c r="L22">
        <f>L3/4+L9/4+L11/4+L16/4</f>
        <v>-101.53005</v>
      </c>
      <c r="N22">
        <f>N3/4+N9/4+N11/4+N16/4</f>
        <v>440.74042500000002</v>
      </c>
      <c r="P22">
        <f>P3/4+P9/4+P11/4+P16/4</f>
        <v>537.25132500000007</v>
      </c>
      <c r="R22">
        <f>R3/4+R9/4+R11/4+R16/4</f>
        <v>523.57413750000001</v>
      </c>
    </row>
    <row r="23" spans="1:18" x14ac:dyDescent="0.3">
      <c r="G23" s="1" t="s">
        <v>13</v>
      </c>
      <c r="H23">
        <f>H4/4+H7/4+H13/4+H17/4</f>
        <v>93.746249999999989</v>
      </c>
      <c r="J23">
        <f>J4/4+J7/4+J13/4+J17/4</f>
        <v>19.584375000000001</v>
      </c>
      <c r="L23">
        <f>L4/4+L7/4+L13/4+L17/4</f>
        <v>21.9135375</v>
      </c>
      <c r="N23">
        <f>N4/4+N7/4+N13/4+N17/4</f>
        <v>-237.08628750000003</v>
      </c>
      <c r="P23">
        <f>P4/4+P7/4+P13/4+P17/4</f>
        <v>-207.66153750000001</v>
      </c>
      <c r="R23">
        <f>R4/4+R7/4+R13/4+R17/4</f>
        <v>-246.58545000000007</v>
      </c>
    </row>
    <row r="24" spans="1:18" x14ac:dyDescent="0.3">
      <c r="G24" s="1" t="s">
        <v>17</v>
      </c>
      <c r="H24">
        <f>SQRT((H5-H21)^2/4+(H8-H21)^2/4+(H12-H21)^2/4+(H15-H21)^2/4)</f>
        <v>36.564353181862387</v>
      </c>
      <c r="J24">
        <f>SQRT((J5-J21)^2/4+(J8-J21)^2/4+(J12-J21)^2/4+(J15-J21)^2/4)</f>
        <v>87.903170573993663</v>
      </c>
      <c r="L24">
        <f>SQRT((L5-L21)^2/4+(L8-L21)^2/4+(L12-L21)^2/4+(L15-L21)^2/4)</f>
        <v>28.003392824070779</v>
      </c>
      <c r="N24">
        <f>SQRT((N5-N21)^2/4+(N8-N21)^2/4+(N12-N21)^2/4+(N15-N21)^2/4)</f>
        <v>8.7156343639605645</v>
      </c>
      <c r="P24">
        <f>SQRT((P5-P21)^2/4+(P8-P21)^2/4+(P12-P21)^2/4+(P15-P21)^2/4)</f>
        <v>48.679041712712156</v>
      </c>
      <c r="R24">
        <f>SQRT((R5-R21)^2/4+(R8-R21)^2/4+(R12-R21)^2/4+(R15-R21)^2/4)</f>
        <v>106.55994189958301</v>
      </c>
    </row>
    <row r="25" spans="1:18" x14ac:dyDescent="0.3">
      <c r="G25" s="1" t="s">
        <v>18</v>
      </c>
      <c r="H25">
        <f>SQRT((H3-H22)^2/4+(H9-H22)^2/4+(H11-H22)^2/4+(H16-H22)^2/4)</f>
        <v>177.82229322653268</v>
      </c>
      <c r="J25">
        <f>SQRT((J3-J22)^2/4+(J9-J22)^2/4+(J11-J22)^2/4+(J16-J22)^2/4)</f>
        <v>204.30800759348313</v>
      </c>
      <c r="L25">
        <f>SQRT((L3-L22)^2/4+(L9-L22)^2/4+(L11-L22)^2/4+(L16-L22)^2/4)</f>
        <v>173.15765235203656</v>
      </c>
      <c r="N25">
        <f>SQRT((N3-N22)^2/4+(N9-N22)^2/4+(N11-N22)^2/4+(N16-N22)^2/4)</f>
        <v>416.13587922055962</v>
      </c>
      <c r="P25">
        <f>SQRT((P3-P22)^2/4+(P9-P22)^2/4+(P11-P22)^2/4+(P16-P22)^2/4)</f>
        <v>383.73850514955575</v>
      </c>
      <c r="R25">
        <f>SQRT((R3-R22)^2/4+(R9-R22)^2/4+(R11-R22)^2/4+(R16-R22)^2/4)</f>
        <v>384.78437720701999</v>
      </c>
    </row>
    <row r="26" spans="1:18" x14ac:dyDescent="0.3">
      <c r="G26" s="1" t="s">
        <v>19</v>
      </c>
      <c r="H26">
        <f>SQRT((H4-H23)^2/4+(H7-H23)^2/4+(H13-H23)^2/4+(H17-H23)^2/4)</f>
        <v>159.33288479441006</v>
      </c>
      <c r="J26">
        <f>SQRT((J4-J23)^2/4+(J7-J23)^2/4+(J13-J23)^2/4+(J17-J23)^2/4)</f>
        <v>12.794003250082637</v>
      </c>
      <c r="L26">
        <f>SQRT((L4-L23)^2/4+(L7-L23)^2/4+(L13-L23)^2/4+(L17-L23)^2/4)</f>
        <v>21.958445507064443</v>
      </c>
      <c r="N26">
        <f>SQRT((N4-N23)^2/4+(N7-N23)^2/4+(N13-N23)^2/4+(N17-N23)^2/4)</f>
        <v>405.37261554845031</v>
      </c>
      <c r="P26">
        <f>SQRT((P4-P23)^2/4+(P7-P23)^2/4+(P13-P23)^2/4+(P17-P23)^2/4)</f>
        <v>315.71199186983176</v>
      </c>
      <c r="R26">
        <f>SQRT((R4-R23)^2/4+(R7-R23)^2/4+(R13-R23)^2/4+(R17-R23)^2/4)</f>
        <v>311.23290689240878</v>
      </c>
    </row>
    <row r="28" spans="1:18" x14ac:dyDescent="0.3">
      <c r="G28" s="2">
        <v>209.76836249999999</v>
      </c>
      <c r="H28" s="2">
        <v>36.564353181862387</v>
      </c>
      <c r="I28" s="2">
        <v>147.31972500000001</v>
      </c>
      <c r="J28" s="2">
        <v>87.903170573993663</v>
      </c>
      <c r="K28" s="2">
        <v>42.249412500000005</v>
      </c>
      <c r="L28" s="2">
        <v>28.003392824070779</v>
      </c>
      <c r="M28" s="2">
        <v>35.507400000000004</v>
      </c>
      <c r="N28" s="2">
        <v>8.7156343639605645</v>
      </c>
      <c r="O28" s="2">
        <v>251.16821250000001</v>
      </c>
      <c r="P28" s="2">
        <v>48.679041712712156</v>
      </c>
      <c r="Q28" s="2">
        <v>369.79020000000003</v>
      </c>
      <c r="R28" s="2">
        <v>106.55994189958301</v>
      </c>
    </row>
    <row r="29" spans="1:18" x14ac:dyDescent="0.3">
      <c r="G29" s="2">
        <v>250.56438749999998</v>
      </c>
      <c r="H29" s="2">
        <v>177.82229322653268</v>
      </c>
      <c r="I29" s="2">
        <v>176.70960000000002</v>
      </c>
      <c r="J29" s="2">
        <v>204.30800759348313</v>
      </c>
      <c r="K29" s="2">
        <v>103.36605000000002</v>
      </c>
      <c r="L29" s="2">
        <v>173.15765235203656</v>
      </c>
      <c r="M29" s="2">
        <v>440.74042500000002</v>
      </c>
      <c r="N29" s="2">
        <v>416.13587922055962</v>
      </c>
      <c r="O29" s="2">
        <v>537.25132500000007</v>
      </c>
      <c r="P29" s="2">
        <v>383.73850514955575</v>
      </c>
      <c r="Q29" s="2">
        <v>523.57413750000001</v>
      </c>
      <c r="R29" s="2">
        <v>384.78437720701999</v>
      </c>
    </row>
    <row r="30" spans="1:18" x14ac:dyDescent="0.3">
      <c r="G30" s="2">
        <v>93.746249999999989</v>
      </c>
      <c r="H30" s="2">
        <v>159.33288479441006</v>
      </c>
      <c r="I30" s="2">
        <v>19.584375000000001</v>
      </c>
      <c r="J30" s="2">
        <v>12.794003250082637</v>
      </c>
      <c r="K30" s="2">
        <v>21.9135375</v>
      </c>
      <c r="L30" s="2">
        <v>21.958445507064443</v>
      </c>
      <c r="M30" s="2">
        <v>237.08628750000003</v>
      </c>
      <c r="N30" s="2">
        <v>405.37261554845031</v>
      </c>
      <c r="O30" s="2">
        <v>207.66153750000001</v>
      </c>
      <c r="P30" s="2">
        <v>315.71199186983176</v>
      </c>
      <c r="Q30" s="2">
        <v>246.58545000000007</v>
      </c>
      <c r="R30" s="2">
        <v>311.23290689240878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da0237-07c2-438e-b8e6-0fa0b563a3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356AFFD9A7594097CBB89963647BF4" ma:contentTypeVersion="6" ma:contentTypeDescription="Create a new document." ma:contentTypeScope="" ma:versionID="ac2665cb7c8e0f22058cd00693b536fb">
  <xsd:schema xmlns:xsd="http://www.w3.org/2001/XMLSchema" xmlns:xs="http://www.w3.org/2001/XMLSchema" xmlns:p="http://schemas.microsoft.com/office/2006/metadata/properties" xmlns:ns3="fdda0237-07c2-438e-b8e6-0fa0b563a398" targetNamespace="http://schemas.microsoft.com/office/2006/metadata/properties" ma:root="true" ma:fieldsID="8f25afb42af0ed4b86627180dd1fe123" ns3:_="">
    <xsd:import namespace="fdda0237-07c2-438e-b8e6-0fa0b563a39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a0237-07c2-438e-b8e6-0fa0b563a39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4D2B-AE44-42A0-9ED3-4AD0F7CA4C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ECCFF9-B2DD-483C-B8BB-B7ACD0C5A01F}">
  <ds:schemaRefs>
    <ds:schemaRef ds:uri="http://schemas.microsoft.com/office/2006/documentManagement/types"/>
    <ds:schemaRef ds:uri="http://purl.org/dc/terms/"/>
    <ds:schemaRef ds:uri="fdda0237-07c2-438e-b8e6-0fa0b563a398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8A61E7D-7197-4350-B3F0-15F258352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a0237-07c2-438e-b8e6-0fa0b563a3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Chan</dc:creator>
  <cp:lastModifiedBy>Renee Chan</cp:lastModifiedBy>
  <dcterms:created xsi:type="dcterms:W3CDTF">2025-12-19T03:13:14Z</dcterms:created>
  <dcterms:modified xsi:type="dcterms:W3CDTF">2025-12-20T03:47:06Z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0x010100D0356AFFD9A7594097CBB89963647BF4</vt:lpwstr>
  </property>
</Properties>
</file>